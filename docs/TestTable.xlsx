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eba0868f5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t Card" sheetId="1" r:id="R62e8273b3b484bb3"/>
    <x:sheet xmlns:r="http://schemas.openxmlformats.org/officeDocument/2006/relationships" name="T1-T12 Test Cases" sheetId="2" r:id="Rad12f8f6f82740e4"/>
    <x:sheet xmlns:r="http://schemas.openxmlformats.org/officeDocument/2006/relationships" name="Hand Calculations" sheetId="3" r:id="Rcf0c97d92cd04a14"/>
    <x:sheet xmlns:r="http://schemas.openxmlformats.org/officeDocument/2006/relationships" name="Baseline Menu" sheetId="4" r:id="Re01b0450291246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"/>
    <x:numFmt numFmtId="201" formatCode="0.0%"/>
    <x:numFmt numFmtId="202" formatCode="yyyy-mm-dd hh:mm"/>
    <x:numFmt numFmtId="203" formatCode="0.000"/>
    <x:numFmt numFmtId="204" formatCode="$#,##0.0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7451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F623E"/>
      </x:patternFill>
    </x:fill>
    <x:fill>
      <x:patternFill patternType="solid">
        <x:fgColor rgb="FFF8F4E8"/>
      </x:patternFill>
    </x:fill>
    <x:fill>
      <x:patternFill patternType="solid">
        <x:fgColor rgb="FFFFF0CC"/>
      </x:patternFill>
    </x:fill>
    <x:fill>
      <x:patternFill patternType="solid">
        <x:fgColor rgb="FFECF2EB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b746085734b08" /><Relationship Type="http://schemas.openxmlformats.org/officeDocument/2006/relationships/theme" Target="/xl/theme/theme1.xml" Id="Rc0b4819ded7442cc" /><Relationship Type="http://schemas.openxmlformats.org/officeDocument/2006/relationships/sharedStrings" Target="/xl/sharedStrings.xml" Id="Re5770276e52e45d3" /><Relationship Type="http://schemas.openxmlformats.org/officeDocument/2006/relationships/worksheet" Target="/xl/worksheets/sheet1.xml" Id="R62e8273b3b484bb3" /><Relationship Type="http://schemas.openxmlformats.org/officeDocument/2006/relationships/worksheet" Target="/xl/worksheets/sheet2.xml" Id="Rad12f8f6f82740e4" /><Relationship Type="http://schemas.openxmlformats.org/officeDocument/2006/relationships/worksheet" Target="/xl/worksheets/sheet3.xml" Id="Rcf0c97d92cd04a14" /><Relationship Type="http://schemas.openxmlformats.org/officeDocument/2006/relationships/worksheet" Target="/xl/worksheets/sheet4.xml" Id="Re01b0450291246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73" hidden="0" customWidth="1"/>
  </x:cols>
  <x:sheetData>
    <x:row r="1" ht="32" customHeight="1">
      <x:c r="A1" s="4" t="str">
        <x:v>OLIVE BRANCH BAKES  |  CHECKPOINT 3A  |  ASSIGNED RULES</x:v>
      </x:c>
      <x:c r="B1" s="4"/>
      <x:c r="C1" s="4"/>
      <x:c r="D1" s="4"/>
      <x:c r="E1" s="4"/>
      <x:c r="F1" s="4"/>
      <x:c r="G1" s="4"/>
      <x:c r="H1" s="4"/>
    </x:row>
    <x:row r="3" ht="34" customHeight="1">
      <x:c r="A3" s="10" t="str">
        <x:v>Field</x:v>
      </x:c>
      <x:c r="B3" s="10" t="str">
        <x:v>Selected requirement</x:v>
      </x:c>
    </x:row>
    <x:row r="4" ht="23" customHeight="1">
      <x:c r="A4" t="str">
        <x:v>Seasonal item</x:v>
      </x:c>
      <x:c r="B4" t="str">
        <x:v>Sweet potato pie 9 inch</x:v>
      </x:c>
    </x:row>
    <x:row r="5" ht="23" customHeight="1">
      <x:c r="A5" t="str">
        <x:v>Seasonal price</x:v>
      </x:c>
      <x:c r="B5" s="14" t="n">
        <x:v>21</x:v>
      </x:c>
    </x:row>
    <x:row r="6" ht="23" customHeight="1">
      <x:c r="A6" t="str">
        <x:v>Availability</x:v>
      </x:c>
      <x:c r="B6" t="str">
        <x:v>November 1 – December 31</x:v>
      </x:c>
    </x:row>
    <x:row r="7" ht="23" customHeight="1">
      <x:c r="A7" t="str">
        <x:v>Operations rule</x:v>
      </x:c>
      <x:c r="B7" t="str">
        <x:v>O1 – Pie capacity</x:v>
      </x:c>
    </x:row>
    <x:row r="8" ht="23" customHeight="1">
      <x:c r="A8" t="str">
        <x:v>Max pies per pickup date</x:v>
      </x:c>
      <x:c r="B8" t="n">
        <x:v>12</x:v>
      </x:c>
    </x:row>
    <x:row r="9" ht="23" customHeight="1">
      <x:c r="A9" t="str">
        <x:v>Pricing rule</x:v>
      </x:c>
      <x:c r="B9" t="str">
        <x:v>P5 – Plan ahead</x:v>
      </x:c>
    </x:row>
    <x:row r="10" ht="23" customHeight="1">
      <x:c r="A10" t="str">
        <x:v>Advance discount threshold (hours)</x:v>
      </x:c>
      <x:c r="B10" t="n">
        <x:v>168</x:v>
      </x:c>
    </x:row>
    <x:row r="11" ht="23" customHeight="1">
      <x:c r="A11" t="str">
        <x:v>Discount per pie/cake</x:v>
      </x:c>
      <x:c r="B11" s="14" t="n">
        <x:v>0.5</x:v>
      </x:c>
    </x:row>
    <x:row r="12" ht="23" customHeight="1">
      <x:c r="A12" t="str">
        <x:v>Rush-fee threshold (hours)</x:v>
      </x:c>
      <x:c r="B12" t="n">
        <x:v>48</x:v>
      </x:c>
    </x:row>
    <x:row r="13" ht="23" customHeight="1">
      <x:c r="A13" t="str">
        <x:v>Rush fee</x:v>
      </x:c>
      <x:c r="B13" s="14" t="n">
        <x:v>5</x:v>
      </x:c>
    </x:row>
    <x:row r="14" ht="23" customHeight="1">
      <x:c r="A14" t="str">
        <x:v>Sales tax</x:v>
      </x:c>
      <x:c r="B14" s="16" t="n">
        <x:v>0.085</x:v>
      </x:c>
    </x:row>
    <x:row r="15" ht="23" customHeight="1">
      <x:c r="A15" t="str">
        <x:v>Earliest pickup (hours)</x:v>
      </x:c>
      <x:c r="B15" t="n">
        <x:v>24</x:v>
      </x:c>
    </x:row>
    <x:row r="16" ht="23" customHeight="1">
      <x:c r="A16" t="str">
        <x:v>Latest pickup (days)</x:v>
      </x:c>
      <x:c r="B16" t="n">
        <x:v>30</x:v>
      </x:c>
    </x:row>
    <x:row r="17" ht="23" customHeight="1">
      <x:c r="A17" t="str">
        <x:v>Blocked holidays</x:v>
      </x:c>
      <x:c r="B17" t="str">
        <x:v>Thanksgiving Day; December 25</x:v>
      </x:c>
    </x:row>
    <x:row r="18" ht="40" customHeight="1">
      <x:c r="A18" t="str">
        <x:v>Phase 3A scope</x:v>
      </x:c>
      <x:c r="B18" s="18" t="str">
        <x:v>Precalculated expected results only. P5/O1 engines are NOT built until 3C.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41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32" hidden="0" customWidth="1"/>
    <x:col min="8" max="8" width="10" hidden="0" customWidth="1"/>
    <x:col min="9" max="9" width="12" hidden="0" customWidth="1"/>
    <x:col min="10" max="10" width="29" hidden="0" customWidth="1"/>
    <x:col min="11" max="11" width="10" hidden="0" customWidth="1"/>
    <x:col min="12" max="12" width="12" hidden="0" customWidth="1"/>
    <x:col min="13" max="13" width="27" hidden="0" customWidth="1"/>
    <x:col min="14" max="14" width="10" hidden="0" customWidth="1"/>
    <x:col min="15" max="15" width="12" hidden="0" customWidth="1"/>
    <x:col min="16" max="16" width="15" hidden="0" customWidth="1"/>
    <x:col min="17" max="17" width="13" hidden="0" customWidth="1"/>
    <x:col min="18" max="18" width="14" hidden="0" customWidth="1"/>
    <x:col min="19" max="19" width="17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6" hidden="0" customWidth="1"/>
    <x:col min="25" max="25" width="18" hidden="0" customWidth="1"/>
    <x:col min="26" max="26" width="18" hidden="0" customWidth="1"/>
    <x:col min="27" max="27" width="17" hidden="0" customWidth="1"/>
    <x:col min="28" max="28" width="18" hidden="0" customWidth="1"/>
    <x:col min="29" max="29" width="40" hidden="0" customWidth="1"/>
    <x:col min="30" max="30" width="20" hidden="0" customWidth="1"/>
    <x:col min="31" max="31" width="16" hidden="0" customWidth="1"/>
    <x:col min="32" max="32" width="28" hidden="0" customWidth="1"/>
  </x:cols>
  <x:sheetData>
    <x:row r="1" ht="32" customHeight="1">
      <x:c r="A1" s="4" t="str">
        <x:v>319  |  T1–T12 EXPECTED TEST CASES  |  completed BEFORE pricing code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</x:row>
    <x:row r="2" ht="27" customHeight="1">
      <x:c r="A2" s="21" t="str">
        <x:v>T5 has two runs (guest and signed-in); each test starts with an independent pickup-date fixture. Actual result stays blank until tested.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</x:row>
    <x:row r="4" ht="34" customHeight="1">
      <x:c r="A4" s="10" t="str">
        <x:v>ID</x:v>
      </x:c>
      <x:c r="B4" s="10" t="str">
        <x:v>Purpose / boundary</x:v>
      </x:c>
      <x:c r="C4" s="10" t="str">
        <x:v>Account</x:v>
      </x:c>
      <x:c r="D4" s="10" t="str">
        <x:v>Prior orders</x:v>
      </x:c>
      <x:c r="E4" s="10" t="str">
        <x:v>Order date/time</x:v>
      </x:c>
      <x:c r="F4" s="10" t="str">
        <x:v>Pickup date/time</x:v>
      </x:c>
      <x:c r="G4" s="10" t="str">
        <x:v>Item 1</x:v>
      </x:c>
      <x:c r="H4" s="10" t="str">
        <x:v>Qty1</x:v>
      </x:c>
      <x:c r="I4" s="10" t="str">
        <x:v>Unit1</x:v>
      </x:c>
      <x:c r="J4" s="10" t="str">
        <x:v>Item 2</x:v>
      </x:c>
      <x:c r="K4" s="10" t="str">
        <x:v>Qty2</x:v>
      </x:c>
      <x:c r="L4" s="10" t="str">
        <x:v>Unit2</x:v>
      </x:c>
      <x:c r="M4" s="10" t="str">
        <x:v>Item 3</x:v>
      </x:c>
      <x:c r="N4" s="10" t="str">
        <x:v>Qty3</x:v>
      </x:c>
      <x:c r="O4" s="10" t="str">
        <x:v>Unit3</x:v>
      </x:c>
      <x:c r="P4" s="10" t="str">
        <x:v>Existing pies</x:v>
      </x:c>
      <x:c r="Q4" s="10" t="str">
        <x:v>Cart pies</x:v>
      </x:c>
      <x:c r="R4" s="10" t="str">
        <x:v>Cart cakes</x:v>
      </x:c>
      <x:c r="S4" s="10" t="str">
        <x:v>Seasonal pies</x:v>
      </x:c>
      <x:c r="T4" s="10" t="str">
        <x:v>Subtotal</x:v>
      </x:c>
      <x:c r="U4" s="10" t="str">
        <x:v>Lead hours</x:v>
      </x:c>
      <x:c r="V4" s="10" t="str">
        <x:v>P5 discount</x:v>
      </x:c>
      <x:c r="W4" s="10" t="str">
        <x:v>P5 rush fee</x:v>
      </x:c>
      <x:c r="X4" s="10" t="str">
        <x:v>Taxable base</x:v>
      </x:c>
      <x:c r="Y4" s="10" t="str">
        <x:v>Tax (unrounded)</x:v>
      </x:c>
      <x:c r="Z4" s="10" t="str">
        <x:v>Total (unrounded)</x:v>
      </x:c>
      <x:c r="AA4" s="10" t="str">
        <x:v>Displayed total</x:v>
      </x:c>
      <x:c r="AB4" s="10" t="str">
        <x:v>Expected status</x:v>
      </x:c>
      <x:c r="AC4" s="10" t="str">
        <x:v>Expected message</x:v>
      </x:c>
      <x:c r="AD4" s="10" t="str">
        <x:v>Actual status (enter later)</x:v>
      </x:c>
      <x:c r="AE4" s="10" t="str">
        <x:v>Pass / Fail</x:v>
      </x:c>
      <x:c r="AF4" s="10" t="str">
        <x:v>Notes</x:v>
      </x:c>
    </x:row>
    <x:row r="5" ht="32" customHeight="1">
      <x:c r="A5" t="str">
        <x:v>T1</x:v>
      </x:c>
      <x:c r="B5" t="str">
        <x:v>Baseline: 2 bread / 6 cookies / 1 pie</x:v>
      </x:c>
      <x:c r="C5" t="str">
        <x:v>Guest</x:v>
      </x:c>
      <x:c r="D5" t="n">
        <x:v>0</x:v>
      </x:c>
      <x:c r="E5" s="24" t="n">
        <x:v>46328.416666666664</x:v>
      </x:c>
      <x:c r="F5" s="24" t="n">
        <x:v>46331.416666666664</x:v>
      </x:c>
      <x:c r="G5" t="str">
        <x:v>Sourdough loaf</x:v>
      </x:c>
      <x:c r="H5" t="n">
        <x:v>2</x:v>
      </x:c>
      <x:c r="I5" s="14" t="n">
        <x:v>7.5</x:v>
      </x:c>
      <x:c r="J5" t="str">
        <x:v>Chocolate chip cookie</x:v>
      </x:c>
      <x:c r="K5" t="n">
        <x:v>6</x:v>
      </x:c>
      <x:c r="L5" s="14" t="n">
        <x:v>2.25</x:v>
      </x:c>
      <x:c r="M5" t="str">
        <x:v>Apple pie 9 inch</x:v>
      </x:c>
      <x:c r="N5" t="n">
        <x:v>1</x:v>
      </x:c>
      <x:c r="O5" s="14" t="n">
        <x:v>22</x:v>
      </x:c>
      <x:c r="P5" t="n">
        <x:v>0</x:v>
      </x:c>
      <x:c r="Q5" t="n">
        <x:v>1</x:v>
      </x:c>
      <x:c r="R5" t="n">
        <x:v>0</x:v>
      </x:c>
      <x:c r="S5" t="n">
        <x:v>0</x:v>
      </x:c>
      <x:c r="T5" s="14" t="n">
        <x:f>H5*I5+K5*L5+N5*O5</x:f>
        <x:v>50.5</x:v>
      </x:c>
      <x:c r="U5" s="26" t="n">
        <x:f>(F5-E5)*24</x:f>
        <x:v>72</x:v>
      </x:c>
      <x:c r="V5" s="14" t="n">
        <x:f>IF(U5&gt;='Variant Card'!$B$10,(Q5+R5)*'Variant Card'!$B$11,0)</x:f>
        <x:v>0</x:v>
      </x:c>
      <x:c r="W5" s="14" t="n">
        <x:f>IF(U5&lt;'Variant Card'!$B$12,'Variant Card'!$B$13,0)</x:f>
        <x:v>0</x:v>
      </x:c>
      <x:c r="X5" s="14" t="n">
        <x:f>T5-V5+W5</x:f>
        <x:v>50.5</x:v>
      </x:c>
      <x:c r="Y5" s="14" t="n">
        <x:f>X5*'Variant Card'!$B$14</x:f>
        <x:v>4.2925</x:v>
      </x:c>
      <x:c r="Z5" s="14" t="n">
        <x:f>X5+Y5</x:f>
        <x:v>54.792500000000004</x:v>
      </x:c>
      <x:c r="AA5" s="14" t="n">
        <x:f>IF(AB5="ALLOWED",ROUND(Z5,2),"—")</x:f>
        <x:v>54.79</x:v>
      </x:c>
      <x:c r="AB5" t="str">
        <x:f>IF(OR(P5+Q5&gt;'Variant Card'!$B$8,H5+K5+N5=0,U5&lt;'Variant Card'!$B$15,U5&gt;'Variant Card'!$B$16*24,AND(MONTH(F5)=12,DAY(F5)=25),AND(MONTH(F5)=11,WEEKDAY(F5,2)=4,DAY(F5)&gt;=22,DAY(F5)&lt;=28),AND(S5&gt;0,OR(MONTH(F5)&lt;11,MONTH(F5)&gt;12))),"BLOCKED","ALLOWED")</x:f>
        <x:v>ALLOWED</x:v>
      </x:c>
      <x:c r="AC5" t="str">
        <x:v>Allowed; no P5 discount or rush</x:v>
      </x:c>
      <x:c r="AD5" s="28"/>
      <x:c r="AE5" s="30" t="str">
        <x:f>IF(AD5="","NOT RUN",IF(AD5=AB5,"PASS","FAIL"))</x:f>
        <x:v>NOT RUN</x:v>
      </x:c>
      <x:c r="AF5"/>
    </x:row>
    <x:row r="6" ht="32" customHeight="1">
      <x:c r="A6" t="str">
        <x:v>T2</x:v>
      </x:c>
      <x:c r="B6" t="str">
        <x:v>1 minute below 7-day DISCOUNT threshold</x:v>
      </x:c>
      <x:c r="C6" t="str">
        <x:v>Guest</x:v>
      </x:c>
      <x:c r="D6" t="n">
        <x:v>0</x:v>
      </x:c>
      <x:c r="E6" s="24" t="n">
        <x:v>46329.41736111111</x:v>
      </x:c>
      <x:c r="F6" s="24" t="n">
        <x:v>46336.416666666664</x:v>
      </x:c>
      <x:c r="G6" t="str">
        <x:v>Apple pie 9 inch</x:v>
      </x:c>
      <x:c r="H6" t="n">
        <x:v>1</x:v>
      </x:c>
      <x:c r="I6" s="14" t="n">
        <x:v>22</x:v>
      </x:c>
      <x:c r="J6" t="str">
        <x:v>Chocolate chip cookie</x:v>
      </x:c>
      <x:c r="K6" t="n">
        <x:v>1</x:v>
      </x:c>
      <x:c r="L6" s="14" t="n">
        <x:v>2.25</x:v>
      </x:c>
      <x:c r="M6" t="str"/>
      <x:c r="N6" t="n">
        <x:v>0</x:v>
      </x:c>
      <x:c r="O6" s="14" t="n">
        <x:v>0</x:v>
      </x:c>
      <x:c r="P6" t="n">
        <x:v>0</x:v>
      </x:c>
      <x:c r="Q6" t="n">
        <x:v>1</x:v>
      </x:c>
      <x:c r="R6" t="n">
        <x:v>0</x:v>
      </x:c>
      <x:c r="S6" t="n">
        <x:v>0</x:v>
      </x:c>
      <x:c r="T6" s="14" t="n">
        <x:f>H6*I6+K6*L6+N6*O6</x:f>
        <x:v>24.25</x:v>
      </x:c>
      <x:c r="U6" s="26" t="n">
        <x:f>(F6-E6)*24</x:f>
        <x:v>167.983333333279</x:v>
      </x:c>
      <x:c r="V6" s="14" t="n">
        <x:f>IF(U6&gt;='Variant Card'!$B$10,(Q6+R6)*'Variant Card'!$B$11,0)</x:f>
        <x:v>0</x:v>
      </x:c>
      <x:c r="W6" s="14" t="n">
        <x:f>IF(U6&lt;'Variant Card'!$B$12,'Variant Card'!$B$13,0)</x:f>
        <x:v>0</x:v>
      </x:c>
      <x:c r="X6" s="14" t="n">
        <x:f>T6-V6+W6</x:f>
        <x:v>24.25</x:v>
      </x:c>
      <x:c r="Y6" s="14" t="n">
        <x:f>X6*'Variant Card'!$B$14</x:f>
        <x:v>2.0612500000000002</x:v>
      </x:c>
      <x:c r="Z6" s="14" t="n">
        <x:f>X6+Y6</x:f>
        <x:v>26.31125</x:v>
      </x:c>
      <x:c r="AA6" s="14" t="n">
        <x:f>IF(AB6="ALLOWED",ROUND(Z6,2),"—")</x:f>
        <x:v>26.31</x:v>
      </x:c>
      <x:c r="AB6" t="str">
        <x:f>IF(OR(P6+Q6&gt;'Variant Card'!$B$8,H6+K6+N6=0,U6&lt;'Variant Card'!$B$15,U6&gt;'Variant Card'!$B$16*24,AND(MONTH(F6)=12,DAY(F6)=25),AND(MONTH(F6)=11,WEEKDAY(F6,2)=4,DAY(F6)&gt;=22,DAY(F6)&lt;=28),AND(S6&gt;0,OR(MONTH(F6)&lt;11,MONTH(F6)&gt;12))),"BLOCKED","ALLOWED")</x:f>
        <x:v>ALLOWED</x:v>
      </x:c>
      <x:c r="AC6" t="str">
        <x:v>Allowed; 0 discount at 6d 23h 59m</x:v>
      </x:c>
      <x:c r="AD6" s="28"/>
      <x:c r="AE6" s="30" t="str">
        <x:f>IF(AD6="","NOT RUN",IF(AD6=AB6,"PASS","FAIL"))</x:f>
        <x:v>NOT RUN</x:v>
      </x:c>
      <x:c r="AF6"/>
    </x:row>
    <x:row r="7" ht="32" customHeight="1">
      <x:c r="A7" t="str">
        <x:v>T3</x:v>
      </x:c>
      <x:c r="B7" t="str">
        <x:v>Exactly 7 days: P5 discount applies</x:v>
      </x:c>
      <x:c r="C7" t="str">
        <x:v>Guest</x:v>
      </x:c>
      <x:c r="D7" t="n">
        <x:v>0</x:v>
      </x:c>
      <x:c r="E7" s="24" t="n">
        <x:v>46329.416666666664</x:v>
      </x:c>
      <x:c r="F7" s="24" t="n">
        <x:v>46336.416666666664</x:v>
      </x:c>
      <x:c r="G7" t="str">
        <x:v>Apple pie 9 inch</x:v>
      </x:c>
      <x:c r="H7" t="n">
        <x:v>1</x:v>
      </x:c>
      <x:c r="I7" s="14" t="n">
        <x:v>22</x:v>
      </x:c>
      <x:c r="J7" t="str">
        <x:v>Chocolate chip cookie</x:v>
      </x:c>
      <x:c r="K7" t="n">
        <x:v>1</x:v>
      </x:c>
      <x:c r="L7" s="14" t="n">
        <x:v>2.25</x:v>
      </x:c>
      <x:c r="M7" t="str"/>
      <x:c r="N7" t="n">
        <x:v>0</x:v>
      </x:c>
      <x:c r="O7" s="14" t="n">
        <x:v>0</x:v>
      </x:c>
      <x:c r="P7" t="n">
        <x:v>0</x:v>
      </x:c>
      <x:c r="Q7" t="n">
        <x:v>1</x:v>
      </x:c>
      <x:c r="R7" t="n">
        <x:v>0</x:v>
      </x:c>
      <x:c r="S7" t="n">
        <x:v>0</x:v>
      </x:c>
      <x:c r="T7" s="14" t="n">
        <x:f>H7*I7+K7*L7+N7*O7</x:f>
        <x:v>24.25</x:v>
      </x:c>
      <x:c r="U7" s="26" t="n">
        <x:f>(F7-E7)*24</x:f>
        <x:v>168</x:v>
      </x:c>
      <x:c r="V7" s="14" t="n">
        <x:f>IF(U7&gt;='Variant Card'!$B$10,(Q7+R7)*'Variant Card'!$B$11,0)</x:f>
        <x:v>0.5</x:v>
      </x:c>
      <x:c r="W7" s="14" t="n">
        <x:f>IF(U7&lt;'Variant Card'!$B$12,'Variant Card'!$B$13,0)</x:f>
        <x:v>0</x:v>
      </x:c>
      <x:c r="X7" s="14" t="n">
        <x:f>T7-V7+W7</x:f>
        <x:v>23.75</x:v>
      </x:c>
      <x:c r="Y7" s="14" t="n">
        <x:f>X7*'Variant Card'!$B$14</x:f>
        <x:v>2.0187500000000003</x:v>
      </x:c>
      <x:c r="Z7" s="14" t="n">
        <x:f>X7+Y7</x:f>
        <x:v>25.76875</x:v>
      </x:c>
      <x:c r="AA7" s="14" t="n">
        <x:f>IF(AB7="ALLOWED",ROUND(Z7,2),"—")</x:f>
        <x:v>25.77</x:v>
      </x:c>
      <x:c r="AB7" t="str">
        <x:f>IF(OR(P7+Q7&gt;'Variant Card'!$B$8,H7+K7+N7=0,U7&lt;'Variant Card'!$B$15,U7&gt;'Variant Card'!$B$16*24,AND(MONTH(F7)=12,DAY(F7)=25),AND(MONTH(F7)=11,WEEKDAY(F7,2)=4,DAY(F7)&gt;=22,DAY(F7)&lt;=28),AND(S7&gt;0,OR(MONTH(F7)&lt;11,MONTH(F7)&gt;12))),"BLOCKED","ALLOWED")</x:f>
        <x:v>ALLOWED</x:v>
      </x:c>
      <x:c r="AC7" t="str">
        <x:v>Allowed; $0.50 discount on one pie</x:v>
      </x:c>
      <x:c r="AD7" s="28"/>
      <x:c r="AE7" s="30" t="str">
        <x:f>IF(AD7="","NOT RUN",IF(AD7=AB7,"PASS","FAIL"))</x:f>
        <x:v>NOT RUN</x:v>
      </x:c>
      <x:c r="AF7"/>
    </x:row>
    <x:row r="8" ht="32" customHeight="1">
      <x:c r="A8" t="str">
        <x:v>T4</x:v>
      </x:c>
      <x:c r="B8" t="str">
        <x:v>P5 applied three times (2 pies + 1 cake)</x:v>
      </x:c>
      <x:c r="C8" t="str">
        <x:v>Guest</x:v>
      </x:c>
      <x:c r="D8" t="n">
        <x:v>0</x:v>
      </x:c>
      <x:c r="E8" s="24" t="n">
        <x:v>46328.416666666664</x:v>
      </x:c>
      <x:c r="F8" s="24" t="n">
        <x:v>46338.416666666664</x:v>
      </x:c>
      <x:c r="G8" t="str">
        <x:v>Apple pie 9 inch</x:v>
      </x:c>
      <x:c r="H8" t="n">
        <x:v>2</x:v>
      </x:c>
      <x:c r="I8" s="14" t="n">
        <x:v>22</x:v>
      </x:c>
      <x:c r="J8" t="str">
        <x:v>Custom decorated cake</x:v>
      </x:c>
      <x:c r="K8" t="n">
        <x:v>1</x:v>
      </x:c>
      <x:c r="L8" s="14" t="n">
        <x:v>45</x:v>
      </x:c>
      <x:c r="M8" t="str"/>
      <x:c r="N8" t="n">
        <x:v>0</x:v>
      </x:c>
      <x:c r="O8" s="14" t="n">
        <x:v>0</x:v>
      </x:c>
      <x:c r="P8" t="n">
        <x:v>0</x:v>
      </x:c>
      <x:c r="Q8" t="n">
        <x:v>2</x:v>
      </x:c>
      <x:c r="R8" t="n">
        <x:v>1</x:v>
      </x:c>
      <x:c r="S8" t="n">
        <x:v>0</x:v>
      </x:c>
      <x:c r="T8" s="14" t="n">
        <x:f>H8*I8+K8*L8+N8*O8</x:f>
        <x:v>89</x:v>
      </x:c>
      <x:c r="U8" s="26" t="n">
        <x:f>(F8-E8)*24</x:f>
        <x:v>240</x:v>
      </x:c>
      <x:c r="V8" s="14" t="n">
        <x:f>IF(U8&gt;='Variant Card'!$B$10,(Q8+R8)*'Variant Card'!$B$11,0)</x:f>
        <x:v>1.5</x:v>
      </x:c>
      <x:c r="W8" s="14" t="n">
        <x:f>IF(U8&lt;'Variant Card'!$B$12,'Variant Card'!$B$13,0)</x:f>
        <x:v>0</x:v>
      </x:c>
      <x:c r="X8" s="14" t="n">
        <x:f>T8-V8+W8</x:f>
        <x:v>87.5</x:v>
      </x:c>
      <x:c r="Y8" s="14" t="n">
        <x:f>X8*'Variant Card'!$B$14</x:f>
        <x:v>7.437500000000001</x:v>
      </x:c>
      <x:c r="Z8" s="14" t="n">
        <x:f>X8+Y8</x:f>
        <x:v>94.9375</x:v>
      </x:c>
      <x:c r="AA8" s="14" t="n">
        <x:f>IF(AB8="ALLOWED",ROUND(Z8,2),"—")</x:f>
        <x:v>94.94</x:v>
      </x:c>
      <x:c r="AB8" t="str">
        <x:f>IF(OR(P8+Q8&gt;'Variant Card'!$B$8,H8+K8+N8=0,U8&lt;'Variant Card'!$B$15,U8&gt;'Variant Card'!$B$16*24,AND(MONTH(F8)=12,DAY(F8)=25),AND(MONTH(F8)=11,WEEKDAY(F8,2)=4,DAY(F8)&gt;=22,DAY(F8)&lt;=28),AND(S8&gt;0,OR(MONTH(F8)&lt;11,MONTH(F8)&gt;12))),"BLOCKED","ALLOWED")</x:f>
        <x:v>ALLOWED</x:v>
      </x:c>
      <x:c r="AC8" t="str">
        <x:v>Allowed; $1.50 discount</x:v>
      </x:c>
      <x:c r="AD8" s="28"/>
      <x:c r="AE8" s="30" t="str">
        <x:f>IF(AD8="","NOT RUN",IF(AD8=AB8,"PASS","FAIL"))</x:f>
        <x:v>NOT RUN</x:v>
      </x:c>
      <x:c r="AF8"/>
    </x:row>
    <x:row r="9" ht="32" customHeight="1">
      <x:c r="A9" t="str">
        <x:v>T5-G</x:v>
      </x:c>
      <x:c r="B9" t="str">
        <x:v>Guest, same cart as T5-S</x:v>
      </x:c>
      <x:c r="C9" t="str">
        <x:v>Guest</x:v>
      </x:c>
      <x:c r="D9" t="n">
        <x:v>0</x:v>
      </x:c>
      <x:c r="E9" s="24" t="n">
        <x:v>46329.416666666664</x:v>
      </x:c>
      <x:c r="F9" s="24" t="n">
        <x:v>46337.416666666664</x:v>
      </x:c>
      <x:c r="G9" t="str">
        <x:v>Sweet potato pie 9 inch</x:v>
      </x:c>
      <x:c r="H9" t="n">
        <x:v>1</x:v>
      </x:c>
      <x:c r="I9" s="14" t="n">
        <x:v>21</x:v>
      </x:c>
      <x:c r="J9" t="str">
        <x:v>Blueberry muffin</x:v>
      </x:c>
      <x:c r="K9" t="n">
        <x:v>1</x:v>
      </x:c>
      <x:c r="L9" s="14" t="n">
        <x:v>3</x:v>
      </x:c>
      <x:c r="M9" t="str"/>
      <x:c r="N9" t="n">
        <x:v>0</x:v>
      </x:c>
      <x:c r="O9" s="14" t="n">
        <x:v>0</x:v>
      </x:c>
      <x:c r="P9" t="n">
        <x:v>0</x:v>
      </x:c>
      <x:c r="Q9" t="n">
        <x:v>1</x:v>
      </x:c>
      <x:c r="R9" t="n">
        <x:v>0</x:v>
      </x:c>
      <x:c r="S9" t="n">
        <x:v>1</x:v>
      </x:c>
      <x:c r="T9" s="14" t="n">
        <x:f>H9*I9+K9*L9+N9*O9</x:f>
        <x:v>24</x:v>
      </x:c>
      <x:c r="U9" s="26" t="n">
        <x:f>(F9-E9)*24</x:f>
        <x:v>192</x:v>
      </x:c>
      <x:c r="V9" s="14" t="n">
        <x:f>IF(U9&gt;='Variant Card'!$B$10,(Q9+R9)*'Variant Card'!$B$11,0)</x:f>
        <x:v>0.5</x:v>
      </x:c>
      <x:c r="W9" s="14" t="n">
        <x:f>IF(U9&lt;'Variant Card'!$B$12,'Variant Card'!$B$13,0)</x:f>
        <x:v>0</x:v>
      </x:c>
      <x:c r="X9" s="14" t="n">
        <x:f>T9-V9+W9</x:f>
        <x:v>23.5</x:v>
      </x:c>
      <x:c r="Y9" s="14" t="n">
        <x:f>X9*'Variant Card'!$B$14</x:f>
        <x:v>1.9975</x:v>
      </x:c>
      <x:c r="Z9" s="14" t="n">
        <x:f>X9+Y9</x:f>
        <x:v>25.4975</x:v>
      </x:c>
      <x:c r="AA9" s="14" t="n">
        <x:f>IF(AB9="ALLOWED",ROUND(Z9,2),"—")</x:f>
        <x:v>25.5</x:v>
      </x:c>
      <x:c r="AB9" t="str">
        <x:f>IF(OR(P9+Q9&gt;'Variant Card'!$B$8,H9+K9+N9=0,U9&lt;'Variant Card'!$B$15,U9&gt;'Variant Card'!$B$16*24,AND(MONTH(F9)=12,DAY(F9)=25),AND(MONTH(F9)=11,WEEKDAY(F9,2)=4,DAY(F9)&gt;=22,DAY(F9)&lt;=28),AND(S9&gt;0,OR(MONTH(F9)&lt;11,MONTH(F9)&gt;12))),"BLOCKED","ALLOWED")</x:f>
        <x:v>ALLOWED</x:v>
      </x:c>
      <x:c r="AC9" t="str">
        <x:v>Allowed; P5 applies to guests</x:v>
      </x:c>
      <x:c r="AD9" s="28"/>
      <x:c r="AE9" s="30" t="str">
        <x:f>IF(AD9="","NOT RUN",IF(AD9=AB9,"PASS","FAIL"))</x:f>
        <x:v>NOT RUN</x:v>
      </x:c>
      <x:c r="AF9"/>
    </x:row>
    <x:row r="10" ht="32" customHeight="1">
      <x:c r="A10" t="str">
        <x:v>T5-S</x:v>
      </x:c>
      <x:c r="B10" t="str">
        <x:v>Signed-in, same cart as T5-G</x:v>
      </x:c>
      <x:c r="C10" t="str">
        <x:v>Signed-in</x:v>
      </x:c>
      <x:c r="D10" t="n">
        <x:v>3</x:v>
      </x:c>
      <x:c r="E10" s="24" t="n">
        <x:v>46329.416666666664</x:v>
      </x:c>
      <x:c r="F10" s="24" t="n">
        <x:v>46337.416666666664</x:v>
      </x:c>
      <x:c r="G10" t="str">
        <x:v>Sweet potato pie 9 inch</x:v>
      </x:c>
      <x:c r="H10" t="n">
        <x:v>1</x:v>
      </x:c>
      <x:c r="I10" s="14" t="n">
        <x:v>21</x:v>
      </x:c>
      <x:c r="J10" t="str">
        <x:v>Blueberry muffin</x:v>
      </x:c>
      <x:c r="K10" t="n">
        <x:v>1</x:v>
      </x:c>
      <x:c r="L10" s="14" t="n">
        <x:v>3</x:v>
      </x:c>
      <x:c r="M10" t="str"/>
      <x:c r="N10" t="n">
        <x:v>0</x:v>
      </x:c>
      <x:c r="O10" s="14" t="n">
        <x:v>0</x:v>
      </x:c>
      <x:c r="P10" t="n">
        <x:v>0</x:v>
      </x:c>
      <x:c r="Q10" t="n">
        <x:v>1</x:v>
      </x:c>
      <x:c r="R10" t="n">
        <x:v>0</x:v>
      </x:c>
      <x:c r="S10" t="n">
        <x:v>1</x:v>
      </x:c>
      <x:c r="T10" s="14" t="n">
        <x:f>H10*I10+K10*L10+N10*O10</x:f>
        <x:v>24</x:v>
      </x:c>
      <x:c r="U10" s="26" t="n">
        <x:f>(F10-E10)*24</x:f>
        <x:v>192</x:v>
      </x:c>
      <x:c r="V10" s="14" t="n">
        <x:f>IF(U10&gt;='Variant Card'!$B$10,(Q10+R10)*'Variant Card'!$B$11,0)</x:f>
        <x:v>0.5</x:v>
      </x:c>
      <x:c r="W10" s="14" t="n">
        <x:f>IF(U10&lt;'Variant Card'!$B$12,'Variant Card'!$B$13,0)</x:f>
        <x:v>0</x:v>
      </x:c>
      <x:c r="X10" s="14" t="n">
        <x:f>T10-V10+W10</x:f>
        <x:v>23.5</x:v>
      </x:c>
      <x:c r="Y10" s="14" t="n">
        <x:f>X10*'Variant Card'!$B$14</x:f>
        <x:v>1.9975</x:v>
      </x:c>
      <x:c r="Z10" s="14" t="n">
        <x:f>X10+Y10</x:f>
        <x:v>25.4975</x:v>
      </x:c>
      <x:c r="AA10" s="14" t="n">
        <x:f>IF(AB10="ALLOWED",ROUND(Z10,2),"—")</x:f>
        <x:v>25.5</x:v>
      </x:c>
      <x:c r="AB10" t="str">
        <x:f>IF(OR(P10+Q10&gt;'Variant Card'!$B$8,H10+K10+N10=0,U10&lt;'Variant Card'!$B$15,U10&gt;'Variant Card'!$B$16*24,AND(MONTH(F10)=12,DAY(F10)=25),AND(MONTH(F10)=11,WEEKDAY(F10,2)=4,DAY(F10)&gt;=22,DAY(F10)&lt;=28),AND(S10&gt;0,OR(MONTH(F10)&lt;11,MONTH(F10)&gt;12))),"BLOCKED","ALLOWED")</x:f>
        <x:v>ALLOWED</x:v>
      </x:c>
      <x:c r="AC10" t="str">
        <x:v>Allowed; same P5 total as guest</x:v>
      </x:c>
      <x:c r="AD10" s="28"/>
      <x:c r="AE10" s="30" t="str">
        <x:f>IF(AD10="","NOT RUN",IF(AD10=AB10,"PASS","FAIL"))</x:f>
        <x:v>NOT RUN</x:v>
      </x:c>
      <x:c r="AF10"/>
    </x:row>
    <x:row r="11" ht="32" customHeight="1">
      <x:c r="A11" t="str">
        <x:v>T6</x:v>
      </x:c>
      <x:c r="B11" t="str">
        <x:v>O1 exactly capacity (11 existing + 1 pie)</x:v>
      </x:c>
      <x:c r="C11" t="str">
        <x:v>Guest</x:v>
      </x:c>
      <x:c r="D11" t="n">
        <x:v>0</x:v>
      </x:c>
      <x:c r="E11" s="24" t="n">
        <x:v>46329.416666666664</x:v>
      </x:c>
      <x:c r="F11" s="24" t="n">
        <x:v>46332.416666666664</x:v>
      </x:c>
      <x:c r="G11" t="str">
        <x:v>Apple pie 9 inch</x:v>
      </x:c>
      <x:c r="H11" t="n">
        <x:v>1</x:v>
      </x:c>
      <x:c r="I11" s="14" t="n">
        <x:v>22</x:v>
      </x:c>
      <x:c r="J11" t="str"/>
      <x:c r="K11" t="n">
        <x:v>0</x:v>
      </x:c>
      <x:c r="L11" s="14" t="n">
        <x:v>0</x:v>
      </x:c>
      <x:c r="M11" t="str"/>
      <x:c r="N11" t="n">
        <x:v>0</x:v>
      </x:c>
      <x:c r="O11" s="14" t="n">
        <x:v>0</x:v>
      </x:c>
      <x:c r="P11" t="n">
        <x:v>11</x:v>
      </x:c>
      <x:c r="Q11" t="n">
        <x:v>1</x:v>
      </x:c>
      <x:c r="R11" t="n">
        <x:v>0</x:v>
      </x:c>
      <x:c r="S11" t="n">
        <x:v>0</x:v>
      </x:c>
      <x:c r="T11" s="14" t="n">
        <x:f>H11*I11+K11*L11+N11*O11</x:f>
        <x:v>22</x:v>
      </x:c>
      <x:c r="U11" s="26" t="n">
        <x:f>(F11-E11)*24</x:f>
        <x:v>72</x:v>
      </x:c>
      <x:c r="V11" s="14" t="n">
        <x:f>IF(U11&gt;='Variant Card'!$B$10,(Q11+R11)*'Variant Card'!$B$11,0)</x:f>
        <x:v>0</x:v>
      </x:c>
      <x:c r="W11" s="14" t="n">
        <x:f>IF(U11&lt;'Variant Card'!$B$12,'Variant Card'!$B$13,0)</x:f>
        <x:v>0</x:v>
      </x:c>
      <x:c r="X11" s="14" t="n">
        <x:f>T11-V11+W11</x:f>
        <x:v>22</x:v>
      </x:c>
      <x:c r="Y11" s="14" t="n">
        <x:f>X11*'Variant Card'!$B$14</x:f>
        <x:v>1.87</x:v>
      </x:c>
      <x:c r="Z11" s="14" t="n">
        <x:f>X11+Y11</x:f>
        <x:v>23.87</x:v>
      </x:c>
      <x:c r="AA11" s="14" t="n">
        <x:f>IF(AB11="ALLOWED",ROUND(Z11,2),"—")</x:f>
        <x:v>23.87</x:v>
      </x:c>
      <x:c r="AB11" t="str">
        <x:f>IF(OR(P11+Q11&gt;'Variant Card'!$B$8,H11+K11+N11=0,U11&lt;'Variant Card'!$B$15,U11&gt;'Variant Card'!$B$16*24,AND(MONTH(F11)=12,DAY(F11)=25),AND(MONTH(F11)=11,WEEKDAY(F11,2)=4,DAY(F11)&gt;=22,DAY(F11)&lt;=28),AND(S11&gt;0,OR(MONTH(F11)&lt;11,MONTH(F11)&gt;12))),"BLOCKED","ALLOWED")</x:f>
        <x:v>ALLOWED</x:v>
      </x:c>
      <x:c r="AC11" t="str">
        <x:v>Allowed; date reaches 12 pies total</x:v>
      </x:c>
      <x:c r="AD11" s="28"/>
      <x:c r="AE11" s="30" t="str">
        <x:f>IF(AD11="","NOT RUN",IF(AD11=AB11,"PASS","FAIL"))</x:f>
        <x:v>NOT RUN</x:v>
      </x:c>
      <x:c r="AF11"/>
    </x:row>
    <x:row r="12" ht="32" customHeight="1">
      <x:c r="A12" t="str">
        <x:v>T7</x:v>
      </x:c>
      <x:c r="B12" t="str">
        <x:v>O1 one pie beyond capacity (12 existing + 1)</x:v>
      </x:c>
      <x:c r="C12" t="str">
        <x:v>Guest</x:v>
      </x:c>
      <x:c r="D12" t="n">
        <x:v>0</x:v>
      </x:c>
      <x:c r="E12" s="24" t="n">
        <x:v>46329.416666666664</x:v>
      </x:c>
      <x:c r="F12" s="24" t="n">
        <x:v>46332.416666666664</x:v>
      </x:c>
      <x:c r="G12" t="str">
        <x:v>Apple pie 9 inch</x:v>
      </x:c>
      <x:c r="H12" t="n">
        <x:v>1</x:v>
      </x:c>
      <x:c r="I12" s="14" t="n">
        <x:v>22</x:v>
      </x:c>
      <x:c r="J12" t="str"/>
      <x:c r="K12" t="n">
        <x:v>0</x:v>
      </x:c>
      <x:c r="L12" s="14" t="n">
        <x:v>0</x:v>
      </x:c>
      <x:c r="M12" t="str"/>
      <x:c r="N12" t="n">
        <x:v>0</x:v>
      </x:c>
      <x:c r="O12" s="14" t="n">
        <x:v>0</x:v>
      </x:c>
      <x:c r="P12" t="n">
        <x:v>12</x:v>
      </x:c>
      <x:c r="Q12" t="n">
        <x:v>1</x:v>
      </x:c>
      <x:c r="R12" t="n">
        <x:v>0</x:v>
      </x:c>
      <x:c r="S12" t="n">
        <x:v>0</x:v>
      </x:c>
      <x:c r="T12" s="14" t="n">
        <x:f>H12*I12+K12*L12+N12*O12</x:f>
        <x:v>22</x:v>
      </x:c>
      <x:c r="U12" s="26" t="n">
        <x:f>(F12-E12)*24</x:f>
        <x:v>72</x:v>
      </x:c>
      <x:c r="V12" s="14" t="n">
        <x:f>IF(U12&gt;='Variant Card'!$B$10,(Q12+R12)*'Variant Card'!$B$11,0)</x:f>
        <x:v>0</x:v>
      </x:c>
      <x:c r="W12" s="14" t="n">
        <x:f>IF(U12&lt;'Variant Card'!$B$12,'Variant Card'!$B$13,0)</x:f>
        <x:v>0</x:v>
      </x:c>
      <x:c r="X12" s="14" t="n">
        <x:f>T12-V12+W12</x:f>
        <x:v>22</x:v>
      </x:c>
      <x:c r="Y12" s="14" t="n">
        <x:f>X12*'Variant Card'!$B$14</x:f>
        <x:v>1.87</x:v>
      </x:c>
      <x:c r="Z12" s="14" t="n">
        <x:f>X12+Y12</x:f>
        <x:v>23.87</x:v>
      </x:c>
      <x:c r="AA12" s="14" t="str">
        <x:f>IF(AB12="ALLOWED",ROUND(Z12,2),"—")</x:f>
        <x:v>—</x:v>
      </x:c>
      <x:c r="AB12" t="str">
        <x:f>IF(OR(P12+Q12&gt;'Variant Card'!$B$8,H12+K12+N12=0,U12&lt;'Variant Card'!$B$15,U12&gt;'Variant Card'!$B$16*24,AND(MONTH(F12)=12,DAY(F12)=25),AND(MONTH(F12)=11,WEEKDAY(F12,2)=4,DAY(F12)&gt;=22,DAY(F12)&lt;=28),AND(S12&gt;0,OR(MONTH(F12)&lt;11,MONTH(F12)&gt;12))),"BLOCKED","ALLOWED")</x:f>
        <x:v>BLOCKED</x:v>
      </x:c>
      <x:c r="AC12" t="str">
        <x:v>BLOCKED: 0 pies remaining for pickup date</x:v>
      </x:c>
      <x:c r="AD12" s="28"/>
      <x:c r="AE12" s="30" t="str">
        <x:f>IF(AD12="","NOT RUN",IF(AD12=AB12,"PASS","FAIL"))</x:f>
        <x:v>NOT RUN</x:v>
      </x:c>
      <x:c r="AF12"/>
    </x:row>
    <x:row r="13" ht="32" customHeight="1">
      <x:c r="A13" t="str">
        <x:v>T8</x:v>
      </x:c>
      <x:c r="B13" t="str">
        <x:v>Seasonal item 1 day BEFORE season</x:v>
      </x:c>
      <x:c r="C13" t="str">
        <x:v>Guest</x:v>
      </x:c>
      <x:c r="D13" t="n">
        <x:v>0</x:v>
      </x:c>
      <x:c r="E13" s="24" t="n">
        <x:v>46323.416666666664</x:v>
      </x:c>
      <x:c r="F13" s="24" t="n">
        <x:v>46326.416666666664</x:v>
      </x:c>
      <x:c r="G13" t="str">
        <x:v>Sweet potato pie 9 inch</x:v>
      </x:c>
      <x:c r="H13" t="n">
        <x:v>1</x:v>
      </x:c>
      <x:c r="I13" s="14" t="n">
        <x:v>21</x:v>
      </x:c>
      <x:c r="J13" t="str"/>
      <x:c r="K13" t="n">
        <x:v>0</x:v>
      </x:c>
      <x:c r="L13" s="14" t="n">
        <x:v>0</x:v>
      </x:c>
      <x:c r="M13" t="str"/>
      <x:c r="N13" t="n">
        <x:v>0</x:v>
      </x:c>
      <x:c r="O13" s="14" t="n">
        <x:v>0</x:v>
      </x:c>
      <x:c r="P13" t="n">
        <x:v>0</x:v>
      </x:c>
      <x:c r="Q13" t="n">
        <x:v>1</x:v>
      </x:c>
      <x:c r="R13" t="n">
        <x:v>0</x:v>
      </x:c>
      <x:c r="S13" t="n">
        <x:v>1</x:v>
      </x:c>
      <x:c r="T13" s="14" t="n">
        <x:f>H13*I13+K13*L13+N13*O13</x:f>
        <x:v>21</x:v>
      </x:c>
      <x:c r="U13" s="26" t="n">
        <x:f>(F13-E13)*24</x:f>
        <x:v>72</x:v>
      </x:c>
      <x:c r="V13" s="14" t="n">
        <x:f>IF(U13&gt;='Variant Card'!$B$10,(Q13+R13)*'Variant Card'!$B$11,0)</x:f>
        <x:v>0</x:v>
      </x:c>
      <x:c r="W13" s="14" t="n">
        <x:f>IF(U13&lt;'Variant Card'!$B$12,'Variant Card'!$B$13,0)</x:f>
        <x:v>0</x:v>
      </x:c>
      <x:c r="X13" s="14" t="n">
        <x:f>T13-V13+W13</x:f>
        <x:v>21</x:v>
      </x:c>
      <x:c r="Y13" s="14" t="n">
        <x:f>X13*'Variant Card'!$B$14</x:f>
        <x:v>1.7850000000000001</x:v>
      </x:c>
      <x:c r="Z13" s="14" t="n">
        <x:f>X13+Y13</x:f>
        <x:v>22.785</x:v>
      </x:c>
      <x:c r="AA13" s="14" t="str">
        <x:f>IF(AB13="ALLOWED",ROUND(Z13,2),"—")</x:f>
        <x:v>—</x:v>
      </x:c>
      <x:c r="AB13" t="str">
        <x:f>IF(OR(P13+Q13&gt;'Variant Card'!$B$8,H13+K13+N13=0,U13&lt;'Variant Card'!$B$15,U13&gt;'Variant Card'!$B$16*24,AND(MONTH(F13)=12,DAY(F13)=25),AND(MONTH(F13)=11,WEEKDAY(F13,2)=4,DAY(F13)&gt;=22,DAY(F13)&lt;=28),AND(S13&gt;0,OR(MONTH(F13)&lt;11,MONTH(F13)&gt;12))),"BLOCKED","ALLOWED")</x:f>
        <x:v>BLOCKED</x:v>
      </x:c>
      <x:c r="AC13" t="str">
        <x:v>BLOCKED: Sweet potato pie out of season</x:v>
      </x:c>
      <x:c r="AD13" s="28"/>
      <x:c r="AE13" s="30" t="str">
        <x:f>IF(AD13="","NOT RUN",IF(AD13=AB13,"PASS","FAIL"))</x:f>
        <x:v>NOT RUN</x:v>
      </x:c>
      <x:c r="AF13"/>
    </x:row>
    <x:row r="14" ht="32" customHeight="1">
      <x:c r="A14" t="str">
        <x:v>T9</x:v>
      </x:c>
      <x:c r="B14" t="str">
        <x:v>Empty cart</x:v>
      </x:c>
      <x:c r="C14" t="str">
        <x:v>Guest</x:v>
      </x:c>
      <x:c r="D14" t="n">
        <x:v>0</x:v>
      </x:c>
      <x:c r="E14" s="24" t="n">
        <x:v>46329.416666666664</x:v>
      </x:c>
      <x:c r="F14" s="24" t="n">
        <x:v>46332.416666666664</x:v>
      </x:c>
      <x:c r="G14" t="str"/>
      <x:c r="H14" t="n">
        <x:v>0</x:v>
      </x:c>
      <x:c r="I14" s="14" t="n">
        <x:v>0</x:v>
      </x:c>
      <x:c r="J14" t="str"/>
      <x:c r="K14" t="n">
        <x:v>0</x:v>
      </x:c>
      <x:c r="L14" s="14" t="n">
        <x:v>0</x:v>
      </x:c>
      <x:c r="M14" t="str"/>
      <x:c r="N14" t="n">
        <x:v>0</x:v>
      </x:c>
      <x:c r="O14" s="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s="14" t="n">
        <x:f>H14*I14+K14*L14+N14*O14</x:f>
        <x:v>0</x:v>
      </x:c>
      <x:c r="U14" s="26" t="n">
        <x:f>(F14-E14)*24</x:f>
        <x:v>72</x:v>
      </x:c>
      <x:c r="V14" s="14" t="n">
        <x:f>IF(U14&gt;='Variant Card'!$B$10,(Q14+R14)*'Variant Card'!$B$11,0)</x:f>
        <x:v>0</x:v>
      </x:c>
      <x:c r="W14" s="14" t="n">
        <x:f>IF(U14&lt;'Variant Card'!$B$12,'Variant Card'!$B$13,0)</x:f>
        <x:v>0</x:v>
      </x:c>
      <x:c r="X14" s="14" t="n">
        <x:f>T14-V14+W14</x:f>
        <x:v>0</x:v>
      </x:c>
      <x:c r="Y14" s="14" t="n">
        <x:f>X14*'Variant Card'!$B$14</x:f>
        <x:v>0</x:v>
      </x:c>
      <x:c r="Z14" s="14" t="n">
        <x:f>X14+Y14</x:f>
        <x:v>0</x:v>
      </x:c>
      <x:c r="AA14" s="14" t="str">
        <x:f>IF(AB14="ALLOWED",ROUND(Z14,2),"—")</x:f>
        <x:v>—</x:v>
      </x:c>
      <x:c r="AB14" t="str">
        <x:f>IF(OR(P14+Q14&gt;'Variant Card'!$B$8,H14+K14+N14=0,U14&lt;'Variant Card'!$B$15,U14&gt;'Variant Card'!$B$16*24,AND(MONTH(F14)=12,DAY(F14)=25),AND(MONTH(F14)=11,WEEKDAY(F14,2)=4,DAY(F14)&gt;=22,DAY(F14)&lt;=28),AND(S14&gt;0,OR(MONTH(F14)&lt;11,MONTH(F14)&gt;12))),"BLOCKED","ALLOWED")</x:f>
        <x:v>BLOCKED</x:v>
      </x:c>
      <x:c r="AC14" t="str">
        <x:v>BLOCKED: cart is empty</x:v>
      </x:c>
      <x:c r="AD14" s="28"/>
      <x:c r="AE14" s="30" t="str">
        <x:f>IF(AD14="","NOT RUN",IF(AD14=AB14,"PASS","FAIL"))</x:f>
        <x:v>NOT RUN</x:v>
      </x:c>
      <x:c r="AF14"/>
    </x:row>
    <x:row r="15" ht="32" customHeight="1">
      <x:c r="A15" t="str">
        <x:v>T10</x:v>
      </x:c>
      <x:c r="B15" t="str">
        <x:v>Christmas Day pickup blocked</x:v>
      </x:c>
      <x:c r="C15" t="str">
        <x:v>Guest</x:v>
      </x:c>
      <x:c r="D15" t="n">
        <x:v>0</x:v>
      </x:c>
      <x:c r="E15" s="24" t="n">
        <x:v>46376.416666666664</x:v>
      </x:c>
      <x:c r="F15" s="24" t="n">
        <x:v>46381.416666666664</x:v>
      </x:c>
      <x:c r="G15" t="str">
        <x:v>Apple pie 9 inch</x:v>
      </x:c>
      <x:c r="H15" t="n">
        <x:v>1</x:v>
      </x:c>
      <x:c r="I15" s="14" t="n">
        <x:v>22</x:v>
      </x:c>
      <x:c r="J15" t="str"/>
      <x:c r="K15" t="n">
        <x:v>0</x:v>
      </x:c>
      <x:c r="L15" s="14" t="n">
        <x:v>0</x:v>
      </x:c>
      <x:c r="M15" t="str"/>
      <x:c r="N15" t="n">
        <x:v>0</x:v>
      </x:c>
      <x:c r="O15" s="14" t="n">
        <x:v>0</x:v>
      </x:c>
      <x:c r="P15" t="n">
        <x:v>0</x:v>
      </x:c>
      <x:c r="Q15" t="n">
        <x:v>1</x:v>
      </x:c>
      <x:c r="R15" t="n">
        <x:v>0</x:v>
      </x:c>
      <x:c r="S15" t="n">
        <x:v>0</x:v>
      </x:c>
      <x:c r="T15" s="14" t="n">
        <x:f>H15*I15+K15*L15+N15*O15</x:f>
        <x:v>22</x:v>
      </x:c>
      <x:c r="U15" s="26" t="n">
        <x:f>(F15-E15)*24</x:f>
        <x:v>120</x:v>
      </x:c>
      <x:c r="V15" s="14" t="n">
        <x:f>IF(U15&gt;='Variant Card'!$B$10,(Q15+R15)*'Variant Card'!$B$11,0)</x:f>
        <x:v>0</x:v>
      </x:c>
      <x:c r="W15" s="14" t="n">
        <x:f>IF(U15&lt;'Variant Card'!$B$12,'Variant Card'!$B$13,0)</x:f>
        <x:v>0</x:v>
      </x:c>
      <x:c r="X15" s="14" t="n">
        <x:f>T15-V15+W15</x:f>
        <x:v>22</x:v>
      </x:c>
      <x:c r="Y15" s="14" t="n">
        <x:f>X15*'Variant Card'!$B$14</x:f>
        <x:v>1.87</x:v>
      </x:c>
      <x:c r="Z15" s="14" t="n">
        <x:f>X15+Y15</x:f>
        <x:v>23.87</x:v>
      </x:c>
      <x:c r="AA15" s="14" t="str">
        <x:f>IF(AB15="ALLOWED",ROUND(Z15,2),"—")</x:f>
        <x:v>—</x:v>
      </x:c>
      <x:c r="AB15" t="str">
        <x:f>IF(OR(P15+Q15&gt;'Variant Card'!$B$8,H15+K15+N15=0,U15&lt;'Variant Card'!$B$15,U15&gt;'Variant Card'!$B$16*24,AND(MONTH(F15)=12,DAY(F15)=25),AND(MONTH(F15)=11,WEEKDAY(F15,2)=4,DAY(F15)&gt;=22,DAY(F15)&lt;=28),AND(S15&gt;0,OR(MONTH(F15)&lt;11,MONTH(F15)&gt;12))),"BLOCKED","ALLOWED")</x:f>
        <x:v>BLOCKED</x:v>
      </x:c>
      <x:c r="AC15" t="str">
        <x:v>BLOCKED: December 25 is closed</x:v>
      </x:c>
      <x:c r="AD15" s="28"/>
      <x:c r="AE15" s="30" t="str">
        <x:f>IF(AD15="","NOT RUN",IF(AD15=AB15,"PASS","FAIL"))</x:f>
        <x:v>NOT RUN</x:v>
      </x:c>
      <x:c r="AF15"/>
    </x:row>
    <x:row r="16" ht="32" customHeight="1">
      <x:c r="A16" t="str">
        <x:v>T11</x:v>
      </x:c>
      <x:c r="B16" t="str">
        <x:v>P5 rush fee 1 minute BELOW 48h</x:v>
      </x:c>
      <x:c r="C16" t="str">
        <x:v>Guest</x:v>
      </x:c>
      <x:c r="D16" t="n">
        <x:v>0</x:v>
      </x:c>
      <x:c r="E16" s="24" t="n">
        <x:v>46330.41736111111</x:v>
      </x:c>
      <x:c r="F16" s="24" t="n">
        <x:v>46332.416666666664</x:v>
      </x:c>
      <x:c r="G16" t="str">
        <x:v>Apple pie 9 inch</x:v>
      </x:c>
      <x:c r="H16" t="n">
        <x:v>1</x:v>
      </x:c>
      <x:c r="I16" s="14" t="n">
        <x:v>22</x:v>
      </x:c>
      <x:c r="J16" t="str">
        <x:v>Chocolate chip cookie</x:v>
      </x:c>
      <x:c r="K16" t="n">
        <x:v>1</x:v>
      </x:c>
      <x:c r="L16" s="14" t="n">
        <x:v>2.25</x:v>
      </x:c>
      <x:c r="M16" t="str"/>
      <x:c r="N16" t="n">
        <x:v>0</x:v>
      </x:c>
      <x:c r="O16" s="14" t="n">
        <x:v>0</x:v>
      </x:c>
      <x:c r="P16" t="n">
        <x:v>0</x:v>
      </x:c>
      <x:c r="Q16" t="n">
        <x:v>1</x:v>
      </x:c>
      <x:c r="R16" t="n">
        <x:v>0</x:v>
      </x:c>
      <x:c r="S16" t="n">
        <x:v>0</x:v>
      </x:c>
      <x:c r="T16" s="14" t="n">
        <x:f>H16*I16+K16*L16+N16*O16</x:f>
        <x:v>24.25</x:v>
      </x:c>
      <x:c r="U16" s="26" t="n">
        <x:f>(F16-E16)*24</x:f>
        <x:v>47.983333333279006</x:v>
      </x:c>
      <x:c r="V16" s="14" t="n">
        <x:f>IF(U16&gt;='Variant Card'!$B$10,(Q16+R16)*'Variant Card'!$B$11,0)</x:f>
        <x:v>0</x:v>
      </x:c>
      <x:c r="W16" s="14" t="n">
        <x:f>IF(U16&lt;'Variant Card'!$B$12,'Variant Card'!$B$13,0)</x:f>
        <x:v>5</x:v>
      </x:c>
      <x:c r="X16" s="14" t="n">
        <x:f>T16-V16+W16</x:f>
        <x:v>29.25</x:v>
      </x:c>
      <x:c r="Y16" s="14" t="n">
        <x:f>X16*'Variant Card'!$B$14</x:f>
        <x:v>2.48625</x:v>
      </x:c>
      <x:c r="Z16" s="14" t="n">
        <x:f>X16+Y16</x:f>
        <x:v>31.73625</x:v>
      </x:c>
      <x:c r="AA16" s="14" t="n">
        <x:f>IF(AB16="ALLOWED",ROUND(Z16,2),"—")</x:f>
        <x:v>31.74</x:v>
      </x:c>
      <x:c r="AB16" t="str">
        <x:f>IF(OR(P16+Q16&gt;'Variant Card'!$B$8,H16+K16+N16=0,U16&lt;'Variant Card'!$B$15,U16&gt;'Variant Card'!$B$16*24,AND(MONTH(F16)=12,DAY(F16)=25),AND(MONTH(F16)=11,WEEKDAY(F16,2)=4,DAY(F16)&gt;=22,DAY(F16)&lt;=28),AND(S16&gt;0,OR(MONTH(F16)&lt;11,MONTH(F16)&gt;12))),"BLOCKED","ALLOWED")</x:f>
        <x:v>ALLOWED</x:v>
      </x:c>
      <x:c r="AC16" t="str">
        <x:v>Allowed; $5 rush fee taxable</x:v>
      </x:c>
      <x:c r="AD16" s="28"/>
      <x:c r="AE16" s="30" t="str">
        <x:f>IF(AD16="","NOT RUN",IF(AD16=AB16,"PASS","FAIL"))</x:f>
        <x:v>NOT RUN</x:v>
      </x:c>
      <x:c r="AF16"/>
    </x:row>
    <x:row r="17" ht="32" customHeight="1">
      <x:c r="A17" t="str">
        <x:v>T12</x:v>
      </x:c>
      <x:c r="B17" t="str">
        <x:v>Exactly 48 hours: no rush fee</x:v>
      </x:c>
      <x:c r="C17" t="str">
        <x:v>Guest</x:v>
      </x:c>
      <x:c r="D17" t="n">
        <x:v>0</x:v>
      </x:c>
      <x:c r="E17" s="24" t="n">
        <x:v>46330.416666666664</x:v>
      </x:c>
      <x:c r="F17" s="24" t="n">
        <x:v>46332.416666666664</x:v>
      </x:c>
      <x:c r="G17" t="str">
        <x:v>Apple pie 9 inch</x:v>
      </x:c>
      <x:c r="H17" t="n">
        <x:v>1</x:v>
      </x:c>
      <x:c r="I17" s="14" t="n">
        <x:v>22</x:v>
      </x:c>
      <x:c r="J17" t="str">
        <x:v>Chocolate chip cookie</x:v>
      </x:c>
      <x:c r="K17" t="n">
        <x:v>1</x:v>
      </x:c>
      <x:c r="L17" s="14" t="n">
        <x:v>2.25</x:v>
      </x:c>
      <x:c r="M17" t="str"/>
      <x:c r="N17" t="n">
        <x:v>0</x:v>
      </x:c>
      <x:c r="O17" s="14" t="n">
        <x:v>0</x:v>
      </x:c>
      <x:c r="P17" t="n">
        <x:v>0</x:v>
      </x:c>
      <x:c r="Q17" t="n">
        <x:v>1</x:v>
      </x:c>
      <x:c r="R17" t="n">
        <x:v>0</x:v>
      </x:c>
      <x:c r="S17" t="n">
        <x:v>0</x:v>
      </x:c>
      <x:c r="T17" s="14" t="n">
        <x:f>H17*I17+K17*L17+N17*O17</x:f>
        <x:v>24.25</x:v>
      </x:c>
      <x:c r="U17" s="26" t="n">
        <x:f>(F17-E17)*24</x:f>
        <x:v>48</x:v>
      </x:c>
      <x:c r="V17" s="14" t="n">
        <x:f>IF(U17&gt;='Variant Card'!$B$10,(Q17+R17)*'Variant Card'!$B$11,0)</x:f>
        <x:v>0</x:v>
      </x:c>
      <x:c r="W17" s="14" t="n">
        <x:f>IF(U17&lt;'Variant Card'!$B$12,'Variant Card'!$B$13,0)</x:f>
        <x:v>0</x:v>
      </x:c>
      <x:c r="X17" s="14" t="n">
        <x:f>T17-V17+W17</x:f>
        <x:v>24.25</x:v>
      </x:c>
      <x:c r="Y17" s="14" t="n">
        <x:f>X17*'Variant Card'!$B$14</x:f>
        <x:v>2.0612500000000002</x:v>
      </x:c>
      <x:c r="Z17" s="14" t="n">
        <x:f>X17+Y17</x:f>
        <x:v>26.31125</x:v>
      </x:c>
      <x:c r="AA17" s="14" t="n">
        <x:f>IF(AB17="ALLOWED",ROUND(Z17,2),"—")</x:f>
        <x:v>26.31</x:v>
      </x:c>
      <x:c r="AB17" t="str">
        <x:f>IF(OR(P17+Q17&gt;'Variant Card'!$B$8,H17+K17+N17=0,U17&lt;'Variant Card'!$B$15,U17&gt;'Variant Card'!$B$16*24,AND(MONTH(F17)=12,DAY(F17)=25),AND(MONTH(F17)=11,WEEKDAY(F17,2)=4,DAY(F17)&gt;=22,DAY(F17)&lt;=28),AND(S17&gt;0,OR(MONTH(F17)&lt;11,MONTH(F17)&gt;12))),"BLOCKED","ALLOWED")</x:f>
        <x:v>ALLOWED</x:v>
      </x:c>
      <x:c r="AC17" t="str">
        <x:v>Allowed; no rush fee</x:v>
      </x:c>
      <x:c r="AD17" s="28"/>
      <x:c r="AE17" s="30" t="str">
        <x:f>IF(AD17="","NOT RUN",IF(AD17=AB17,"PASS","FAIL"))</x:f>
        <x:v>NOT RUN</x:v>
      </x:c>
      <x:c r="AF17"/>
    </x:row>
  </x:sheetData>
  <x:mergeCells>
    <x:mergeCell ref="A1:AF1"/>
    <x:mergeCell ref="A2:A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46" hidden="0" customWidth="1"/>
    <x:col min="3" max="3" width="14" hidden="0" customWidth="1"/>
    <x:col min="4" max="4" width="55" hidden="0" customWidth="1"/>
    <x:col min="5" max="5" width="16" hidden="0" customWidth="1"/>
    <x:col min="6" max="6" width="25" hidden="0" customWidth="1"/>
    <x:col min="7" max="7" width="13" hidden="0" customWidth="1"/>
    <x:col min="8" max="8" width="29" hidden="0" customWidth="1"/>
    <x:col min="9" max="9" width="16" hidden="0" customWidth="1"/>
    <x:col min="10" max="10" width="27" hidden="0" customWidth="1"/>
    <x:col min="11" max="11" width="20" hidden="0" customWidth="1"/>
    <x:col min="12" max="12" width="31" hidden="0" customWidth="1"/>
    <x:col min="13" max="13" width="20" hidden="0" customWidth="1"/>
    <x:col min="14" max="14" width="56" hidden="0" customWidth="1"/>
  </x:cols>
  <x:sheetData>
    <x:row r="1" ht="32" customHeight="1">
      <x:c r="A1" s="4" t="str">
        <x:v>HAND-CALCULATED EXPECTATIONS  |  P5 PLAN AHEAD + O1 PIE CAPACITY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9" customHeight="1">
      <x:c r="A2" s="21" t="str">
        <x:v>Review these arithmetic steps yourself and reproduce them if your instructor requires personally handwritten evidence. No Phase 3C pricing/limits implementation is claimed.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4" ht="34" customHeight="1">
      <x:c r="A4" s="10" t="str">
        <x:v>ID</x:v>
      </x:c>
      <x:c r="B4" s="10" t="str">
        <x:v>Line items: quantity × price</x:v>
      </x:c>
      <x:c r="C4" s="10" t="str">
        <x:v>Subtotal</x:v>
      </x:c>
      <x:c r="D4" s="10" t="str">
        <x:v>P5 threshold analysis</x:v>
      </x:c>
      <x:c r="E4" s="10" t="str">
        <x:v>Discount</x:v>
      </x:c>
      <x:c r="F4" s="10" t="str">
        <x:v>Rush rule</x:v>
      </x:c>
      <x:c r="G4" s="10" t="str">
        <x:v>Fee</x:v>
      </x:c>
      <x:c r="H4" s="10" t="str">
        <x:v>Tax base math</x:v>
      </x:c>
      <x:c r="I4" s="10" t="str">
        <x:v>Taxable base</x:v>
      </x:c>
      <x:c r="J4" s="10" t="str">
        <x:v>Tax at 8.5% (not rounded)</x:v>
      </x:c>
      <x:c r="K4" s="10" t="str">
        <x:v>Tax exact</x:v>
      </x:c>
      <x:c r="L4" s="10" t="str">
        <x:v>Total expression</x:v>
      </x:c>
      <x:c r="M4" s="10" t="str">
        <x:v>Expected display</x:v>
      </x:c>
      <x:c r="N4" s="10" t="str">
        <x:v>Boundary / message</x:v>
      </x:c>
    </x:row>
    <x:row r="5" ht="43" customHeight="1">
      <x:c r="A5" s="18" t="str">
        <x:v>T1</x:v>
      </x:c>
      <x:c r="B5" s="18" t="str">
        <x:v>2×$7.50 + 6×$2.25 + 1×$22.00</x:v>
      </x:c>
      <x:c r="C5" s="34" t="n">
        <x:v>50.5</x:v>
      </x:c>
      <x:c r="D5" s="18" t="str">
        <x:v>72.0000 hours = 3 days + 0.00 hours; &lt; 168h: no advance discount</x:v>
      </x:c>
      <x:c r="E5" s="34" t="n">
        <x:v>0</x:v>
      </x:c>
      <x:c r="F5" s="18" t="str">
        <x:v>&gt;= 48h: no rush</x:v>
      </x:c>
      <x:c r="G5" s="34" t="n">
        <x:v>0</x:v>
      </x:c>
      <x:c r="H5" s="18" t="str">
        <x:v>$50.50 − $0.00 + $0.00</x:v>
      </x:c>
      <x:c r="I5" s="34" t="n">
        <x:v>50.5</x:v>
      </x:c>
      <x:c r="J5" s="18" t="str">
        <x:v>$50.50 × 0.085</x:v>
      </x:c>
      <x:c r="K5" s="35" t="n">
        <x:v>4.2925</x:v>
      </x:c>
      <x:c r="L5" s="18" t="str">
        <x:v>$50.50 + $4.29250</x:v>
      </x:c>
      <x:c r="M5" s="34" t="n">
        <x:v>54.79</x:v>
      </x:c>
      <x:c r="N5" s="18" t="str">
        <x:v>ALLOWED — no P5 discount or rush</x:v>
      </x:c>
    </x:row>
    <x:row r="6" ht="43" customHeight="1">
      <x:c r="A6" s="18" t="str">
        <x:v>T2</x:v>
      </x:c>
      <x:c r="B6" s="18" t="str">
        <x:v>1×$22.00 + 1×$2.25</x:v>
      </x:c>
      <x:c r="C6" s="34" t="n">
        <x:v>24.25</x:v>
      </x:c>
      <x:c r="D6" s="18" t="str">
        <x:v>167.9833 hours = 6 days + 23.98 hours; &lt; 168h: no advance discount</x:v>
      </x:c>
      <x:c r="E6" s="34" t="n">
        <x:v>0</x:v>
      </x:c>
      <x:c r="F6" s="18" t="str">
        <x:v>&gt;= 48h: no rush</x:v>
      </x:c>
      <x:c r="G6" s="34" t="n">
        <x:v>0</x:v>
      </x:c>
      <x:c r="H6" s="18" t="str">
        <x:v>$24.25 − $0.00 + $0.00</x:v>
      </x:c>
      <x:c r="I6" s="34" t="n">
        <x:v>24.25</x:v>
      </x:c>
      <x:c r="J6" s="18" t="str">
        <x:v>$24.25 × 0.085</x:v>
      </x:c>
      <x:c r="K6" s="35" t="n">
        <x:v>2.06125</x:v>
      </x:c>
      <x:c r="L6" s="18" t="str">
        <x:v>$24.25 + $2.06125</x:v>
      </x:c>
      <x:c r="M6" s="34" t="n">
        <x:v>26.31</x:v>
      </x:c>
      <x:c r="N6" s="18" t="str">
        <x:v>ALLOWED — 0 discount at 6d 23h 59m</x:v>
      </x:c>
    </x:row>
    <x:row r="7" ht="43" customHeight="1">
      <x:c r="A7" s="18" t="str">
        <x:v>T3</x:v>
      </x:c>
      <x:c r="B7" s="18" t="str">
        <x:v>1×$22.00 + 1×$2.25</x:v>
      </x:c>
      <x:c r="C7" s="34" t="n">
        <x:v>24.25</x:v>
      </x:c>
      <x:c r="D7" s="18" t="str">
        <x:v>168.0000 hours = 7 days + 0.00 hours; &gt;= 168h: $0.50 × 1 eligible pie/cake</x:v>
      </x:c>
      <x:c r="E7" s="34" t="n">
        <x:v>0.5</x:v>
      </x:c>
      <x:c r="F7" s="18" t="str">
        <x:v>&gt;= 48h: no rush</x:v>
      </x:c>
      <x:c r="G7" s="34" t="n">
        <x:v>0</x:v>
      </x:c>
      <x:c r="H7" s="18" t="str">
        <x:v>$24.25 − $0.50 + $0.00</x:v>
      </x:c>
      <x:c r="I7" s="34" t="n">
        <x:v>23.75</x:v>
      </x:c>
      <x:c r="J7" s="18" t="str">
        <x:v>$23.75 × 0.085</x:v>
      </x:c>
      <x:c r="K7" s="35" t="n">
        <x:v>2.01875</x:v>
      </x:c>
      <x:c r="L7" s="18" t="str">
        <x:v>$23.75 + $2.01875</x:v>
      </x:c>
      <x:c r="M7" s="34" t="n">
        <x:v>25.77</x:v>
      </x:c>
      <x:c r="N7" s="18" t="str">
        <x:v>ALLOWED — $0.50 discount on one pie</x:v>
      </x:c>
    </x:row>
    <x:row r="8" ht="43" customHeight="1">
      <x:c r="A8" s="18" t="str">
        <x:v>T4</x:v>
      </x:c>
      <x:c r="B8" s="18" t="str">
        <x:v>2×$22.00 + 1×$45.00</x:v>
      </x:c>
      <x:c r="C8" s="34" t="n">
        <x:v>89</x:v>
      </x:c>
      <x:c r="D8" s="18" t="str">
        <x:v>240.0000 hours = 10 days + 0.00 hours; &gt;= 168h: $0.50 × 3 eligible pie/cake</x:v>
      </x:c>
      <x:c r="E8" s="34" t="n">
        <x:v>1.5</x:v>
      </x:c>
      <x:c r="F8" s="18" t="str">
        <x:v>&gt;= 48h: no rush</x:v>
      </x:c>
      <x:c r="G8" s="34" t="n">
        <x:v>0</x:v>
      </x:c>
      <x:c r="H8" s="18" t="str">
        <x:v>$89.00 − $1.50 + $0.00</x:v>
      </x:c>
      <x:c r="I8" s="34" t="n">
        <x:v>87.5</x:v>
      </x:c>
      <x:c r="J8" s="18" t="str">
        <x:v>$87.50 × 0.085</x:v>
      </x:c>
      <x:c r="K8" s="35" t="n">
        <x:v>7.4375</x:v>
      </x:c>
      <x:c r="L8" s="18" t="str">
        <x:v>$87.50 + $7.43750</x:v>
      </x:c>
      <x:c r="M8" s="34" t="n">
        <x:v>94.94</x:v>
      </x:c>
      <x:c r="N8" s="18" t="str">
        <x:v>ALLOWED — $1.50 discount</x:v>
      </x:c>
    </x:row>
    <x:row r="9" ht="43" customHeight="1">
      <x:c r="A9" s="18" t="str">
        <x:v>T5-G</x:v>
      </x:c>
      <x:c r="B9" s="18" t="str">
        <x:v>1×$21.00 + 1×$3.00</x:v>
      </x:c>
      <x:c r="C9" s="34" t="n">
        <x:v>24</x:v>
      </x:c>
      <x:c r="D9" s="18" t="str">
        <x:v>192.0000 hours = 8 days + 0.00 hours; &gt;= 168h: $0.50 × 1 eligible pie/cake</x:v>
      </x:c>
      <x:c r="E9" s="34" t="n">
        <x:v>0.5</x:v>
      </x:c>
      <x:c r="F9" s="18" t="str">
        <x:v>&gt;= 48h: no rush</x:v>
      </x:c>
      <x:c r="G9" s="34" t="n">
        <x:v>0</x:v>
      </x:c>
      <x:c r="H9" s="18" t="str">
        <x:v>$24.00 − $0.50 + $0.00</x:v>
      </x:c>
      <x:c r="I9" s="34" t="n">
        <x:v>23.5</x:v>
      </x:c>
      <x:c r="J9" s="18" t="str">
        <x:v>$23.50 × 0.085</x:v>
      </x:c>
      <x:c r="K9" s="35" t="n">
        <x:v>1.9975</x:v>
      </x:c>
      <x:c r="L9" s="18" t="str">
        <x:v>$23.50 + $1.99750</x:v>
      </x:c>
      <x:c r="M9" s="34" t="n">
        <x:v>25.5</x:v>
      </x:c>
      <x:c r="N9" s="18" t="str">
        <x:v>ALLOWED — P5 applies to guests</x:v>
      </x:c>
    </x:row>
    <x:row r="10" ht="43" customHeight="1">
      <x:c r="A10" s="18" t="str">
        <x:v>T5-S</x:v>
      </x:c>
      <x:c r="B10" s="18" t="str">
        <x:v>1×$21.00 + 1×$3.00</x:v>
      </x:c>
      <x:c r="C10" s="34" t="n">
        <x:v>24</x:v>
      </x:c>
      <x:c r="D10" s="18" t="str">
        <x:v>192.0000 hours = 8 days + 0.00 hours; &gt;= 168h: $0.50 × 1 eligible pie/cake</x:v>
      </x:c>
      <x:c r="E10" s="34" t="n">
        <x:v>0.5</x:v>
      </x:c>
      <x:c r="F10" s="18" t="str">
        <x:v>&gt;= 48h: no rush</x:v>
      </x:c>
      <x:c r="G10" s="34" t="n">
        <x:v>0</x:v>
      </x:c>
      <x:c r="H10" s="18" t="str">
        <x:v>$24.00 − $0.50 + $0.00</x:v>
      </x:c>
      <x:c r="I10" s="34" t="n">
        <x:v>23.5</x:v>
      </x:c>
      <x:c r="J10" s="18" t="str">
        <x:v>$23.50 × 0.085</x:v>
      </x:c>
      <x:c r="K10" s="35" t="n">
        <x:v>1.9975</x:v>
      </x:c>
      <x:c r="L10" s="18" t="str">
        <x:v>$23.50 + $1.99750</x:v>
      </x:c>
      <x:c r="M10" s="34" t="n">
        <x:v>25.5</x:v>
      </x:c>
      <x:c r="N10" s="18" t="str">
        <x:v>ALLOWED — same P5 total as guest</x:v>
      </x:c>
    </x:row>
    <x:row r="11" ht="43" customHeight="1">
      <x:c r="A11" s="18" t="str">
        <x:v>T6</x:v>
      </x:c>
      <x:c r="B11" s="18" t="str">
        <x:v>1×$22.00</x:v>
      </x:c>
      <x:c r="C11" s="34" t="n">
        <x:v>22</x:v>
      </x:c>
      <x:c r="D11" s="18" t="str">
        <x:v>72.0000 hours = 3 days + 0.00 hours; &lt; 168h: no advance discount</x:v>
      </x:c>
      <x:c r="E11" s="34" t="n">
        <x:v>0</x:v>
      </x:c>
      <x:c r="F11" s="18" t="str">
        <x:v>&gt;= 48h: no rush</x:v>
      </x:c>
      <x:c r="G11" s="34" t="n">
        <x:v>0</x:v>
      </x:c>
      <x:c r="H11" s="18" t="str">
        <x:v>$22.00 − $0.00 + $0.00</x:v>
      </x:c>
      <x:c r="I11" s="34" t="n">
        <x:v>22</x:v>
      </x:c>
      <x:c r="J11" s="18" t="str">
        <x:v>$22.00 × 0.085</x:v>
      </x:c>
      <x:c r="K11" s="35" t="n">
        <x:v>1.87</x:v>
      </x:c>
      <x:c r="L11" s="18" t="str">
        <x:v>$22.00 + $1.87000</x:v>
      </x:c>
      <x:c r="M11" s="34" t="n">
        <x:v>23.87</x:v>
      </x:c>
      <x:c r="N11" s="18" t="str">
        <x:v>ALLOWED — date reaches 12 pies total</x:v>
      </x:c>
    </x:row>
    <x:row r="12" ht="43" customHeight="1">
      <x:c r="A12" s="18" t="str">
        <x:v>T7</x:v>
      </x:c>
      <x:c r="B12" s="18" t="str">
        <x:v>1×$22.00</x:v>
      </x:c>
      <x:c r="C12" s="34" t="n">
        <x:v>22</x:v>
      </x:c>
      <x:c r="D12" s="18" t="str">
        <x:v>72.0000 hours = 3 days + 0.00 hours; &lt; 168h: no advance discount</x:v>
      </x:c>
      <x:c r="E12" s="34" t="n">
        <x:v>0</x:v>
      </x:c>
      <x:c r="F12" s="18" t="str">
        <x:v>&gt;= 48h: no rush</x:v>
      </x:c>
      <x:c r="G12" s="34" t="n">
        <x:v>0</x:v>
      </x:c>
      <x:c r="H12" s="18" t="str">
        <x:v>$22.00 − $0.00 + $0.00</x:v>
      </x:c>
      <x:c r="I12" s="34" t="n">
        <x:v>22</x:v>
      </x:c>
      <x:c r="J12" s="18" t="str">
        <x:v>$22.00 × 0.085</x:v>
      </x:c>
      <x:c r="K12" s="35" t="n">
        <x:v>1.87</x:v>
      </x:c>
      <x:c r="L12" s="18" t="str">
        <x:v>$22.00 + $1.87000</x:v>
      </x:c>
      <x:c r="M12" s="34" t="str">
        <x:v>BLOCKED</x:v>
      </x:c>
      <x:c r="N12" s="18" t="str">
        <x:v>BLOCKED — 0 pies remaining for pickup date</x:v>
      </x:c>
    </x:row>
    <x:row r="13" ht="43" customHeight="1">
      <x:c r="A13" s="18" t="str">
        <x:v>T8</x:v>
      </x:c>
      <x:c r="B13" s="18" t="str">
        <x:v>1×$21.00</x:v>
      </x:c>
      <x:c r="C13" s="34" t="n">
        <x:v>21</x:v>
      </x:c>
      <x:c r="D13" s="18" t="str">
        <x:v>72.0000 hours = 3 days + 0.00 hours; &lt; 168h: no advance discount</x:v>
      </x:c>
      <x:c r="E13" s="34" t="n">
        <x:v>0</x:v>
      </x:c>
      <x:c r="F13" s="18" t="str">
        <x:v>&gt;= 48h: no rush</x:v>
      </x:c>
      <x:c r="G13" s="34" t="n">
        <x:v>0</x:v>
      </x:c>
      <x:c r="H13" s="18" t="str">
        <x:v>$21.00 − $0.00 + $0.00</x:v>
      </x:c>
      <x:c r="I13" s="34" t="n">
        <x:v>21</x:v>
      </x:c>
      <x:c r="J13" s="18" t="str">
        <x:v>$21.00 × 0.085</x:v>
      </x:c>
      <x:c r="K13" s="35" t="n">
        <x:v>1.785</x:v>
      </x:c>
      <x:c r="L13" s="18" t="str">
        <x:v>$21.00 + $1.78500</x:v>
      </x:c>
      <x:c r="M13" s="34" t="str">
        <x:v>BLOCKED</x:v>
      </x:c>
      <x:c r="N13" s="18" t="str">
        <x:v>BLOCKED — Sweet potato pie out of season</x:v>
      </x:c>
    </x:row>
    <x:row r="14" ht="43" customHeight="1">
      <x:c r="A14" s="18" t="str">
        <x:v>T9</x:v>
      </x:c>
      <x:c r="B14" s="18" t="str">
        <x:v>EMPTY CART</x:v>
      </x:c>
      <x:c r="C14" s="34" t="n">
        <x:v>0</x:v>
      </x:c>
      <x:c r="D14" s="18" t="str">
        <x:v>72.0000 hours = 3 days + 0.00 hours; &lt; 168h: no advance discount</x:v>
      </x:c>
      <x:c r="E14" s="34" t="n">
        <x:v>0</x:v>
      </x:c>
      <x:c r="F14" s="18" t="str">
        <x:v>&gt;= 48h: no rush</x:v>
      </x:c>
      <x:c r="G14" s="34" t="n">
        <x:v>0</x:v>
      </x:c>
      <x:c r="H14" s="18" t="str">
        <x:v>$0.00 − $0.00 + $0.00</x:v>
      </x:c>
      <x:c r="I14" s="34" t="n">
        <x:v>0</x:v>
      </x:c>
      <x:c r="J14" s="18" t="str">
        <x:v>$0.00 × 0.085</x:v>
      </x:c>
      <x:c r="K14" s="35" t="n">
        <x:v>0</x:v>
      </x:c>
      <x:c r="L14" s="18" t="str">
        <x:v>$0.00 + $0.00000</x:v>
      </x:c>
      <x:c r="M14" s="34" t="str">
        <x:v>BLOCKED</x:v>
      </x:c>
      <x:c r="N14" s="18" t="str">
        <x:v>BLOCKED — cart is empty</x:v>
      </x:c>
    </x:row>
    <x:row r="15" ht="43" customHeight="1">
      <x:c r="A15" s="18" t="str">
        <x:v>T10</x:v>
      </x:c>
      <x:c r="B15" s="18" t="str">
        <x:v>1×$22.00</x:v>
      </x:c>
      <x:c r="C15" s="34" t="n">
        <x:v>22</x:v>
      </x:c>
      <x:c r="D15" s="18" t="str">
        <x:v>120.0000 hours = 5 days + 0.00 hours; &lt; 168h: no advance discount</x:v>
      </x:c>
      <x:c r="E15" s="34" t="n">
        <x:v>0</x:v>
      </x:c>
      <x:c r="F15" s="18" t="str">
        <x:v>&gt;= 48h: no rush</x:v>
      </x:c>
      <x:c r="G15" s="34" t="n">
        <x:v>0</x:v>
      </x:c>
      <x:c r="H15" s="18" t="str">
        <x:v>$22.00 − $0.00 + $0.00</x:v>
      </x:c>
      <x:c r="I15" s="34" t="n">
        <x:v>22</x:v>
      </x:c>
      <x:c r="J15" s="18" t="str">
        <x:v>$22.00 × 0.085</x:v>
      </x:c>
      <x:c r="K15" s="35" t="n">
        <x:v>1.87</x:v>
      </x:c>
      <x:c r="L15" s="18" t="str">
        <x:v>$22.00 + $1.87000</x:v>
      </x:c>
      <x:c r="M15" s="34" t="str">
        <x:v>BLOCKED</x:v>
      </x:c>
      <x:c r="N15" s="18" t="str">
        <x:v>BLOCKED — December 25 is closed</x:v>
      </x:c>
    </x:row>
    <x:row r="16" ht="43" customHeight="1">
      <x:c r="A16" s="18" t="str">
        <x:v>T11</x:v>
      </x:c>
      <x:c r="B16" s="18" t="str">
        <x:v>1×$22.00 + 1×$2.25</x:v>
      </x:c>
      <x:c r="C16" s="34" t="n">
        <x:v>24.25</x:v>
      </x:c>
      <x:c r="D16" s="18" t="str">
        <x:v>47.9833 hours = 1 days + 23.98 hours; &lt; 168h: no advance discount</x:v>
      </x:c>
      <x:c r="E16" s="34" t="n">
        <x:v>0</x:v>
      </x:c>
      <x:c r="F16" s="18" t="str">
        <x:v> &lt; 48h: rush fee</x:v>
      </x:c>
      <x:c r="G16" s="34" t="n">
        <x:v>5</x:v>
      </x:c>
      <x:c r="H16" s="18" t="str">
        <x:v>$24.25 − $0.00 + $5.00</x:v>
      </x:c>
      <x:c r="I16" s="34" t="n">
        <x:v>29.25</x:v>
      </x:c>
      <x:c r="J16" s="18" t="str">
        <x:v>$29.25 × 0.085</x:v>
      </x:c>
      <x:c r="K16" s="35" t="n">
        <x:v>2.48625</x:v>
      </x:c>
      <x:c r="L16" s="18" t="str">
        <x:v>$29.25 + $2.48625</x:v>
      </x:c>
      <x:c r="M16" s="34" t="n">
        <x:v>31.74</x:v>
      </x:c>
      <x:c r="N16" s="18" t="str">
        <x:v>ALLOWED — $5 rush fee taxable</x:v>
      </x:c>
    </x:row>
    <x:row r="17" ht="43" customHeight="1">
      <x:c r="A17" s="18" t="str">
        <x:v>T12</x:v>
      </x:c>
      <x:c r="B17" s="18" t="str">
        <x:v>1×$22.00 + 1×$2.25</x:v>
      </x:c>
      <x:c r="C17" s="34" t="n">
        <x:v>24.25</x:v>
      </x:c>
      <x:c r="D17" s="18" t="str">
        <x:v>48.0000 hours = 2 days + 0.00 hours; &lt; 168h: no advance discount</x:v>
      </x:c>
      <x:c r="E17" s="34" t="n">
        <x:v>0</x:v>
      </x:c>
      <x:c r="F17" s="18" t="str">
        <x:v>&gt;= 48h: no rush</x:v>
      </x:c>
      <x:c r="G17" s="34" t="n">
        <x:v>0</x:v>
      </x:c>
      <x:c r="H17" s="18" t="str">
        <x:v>$24.25 − $0.00 + $0.00</x:v>
      </x:c>
      <x:c r="I17" s="34" t="n">
        <x:v>24.25</x:v>
      </x:c>
      <x:c r="J17" s="18" t="str">
        <x:v>$24.25 × 0.085</x:v>
      </x:c>
      <x:c r="K17" s="35" t="n">
        <x:v>2.06125</x:v>
      </x:c>
      <x:c r="L17" s="18" t="str">
        <x:v>$24.25 + $2.06125</x:v>
      </x:c>
      <x:c r="M17" s="34" t="n">
        <x:v>26.31</x:v>
      </x:c>
      <x:c r="N17" s="18" t="str">
        <x:v>ALLOWED — no rush fee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24" hidden="0" customWidth="1"/>
    <x:col min="4" max="4" width="17" hidden="0" customWidth="1"/>
  </x:cols>
  <x:sheetData>
    <x:row r="1" ht="32" customHeight="1">
      <x:c r="A1" s="4" t="str">
        <x:v>BASELINE MENU PRICES  |  from Phase 3 assignment p.7</x:v>
      </x:c>
      <x:c r="B1" s="4"/>
      <x:c r="C1" s="4"/>
      <x:c r="D1" s="4"/>
    </x:row>
    <x:row r="3" ht="34" customHeight="1">
      <x:c r="A3" s="10" t="str">
        <x:v>ID</x:v>
      </x:c>
      <x:c r="B3" s="10" t="str">
        <x:v>Item</x:v>
      </x:c>
      <x:c r="C3" s="10" t="str">
        <x:v>Category</x:v>
      </x:c>
      <x:c r="D3" s="10" t="str">
        <x:v>Unit price</x:v>
      </x:c>
    </x:row>
    <x:row r="4">
      <x:c r="A4" t="str">
        <x:v>BR001</x:v>
      </x:c>
      <x:c r="B4" t="str">
        <x:v>Sourdough loaf</x:v>
      </x:c>
      <x:c r="C4" t="str">
        <x:v>Breads</x:v>
      </x:c>
      <x:c r="D4" s="14" t="n">
        <x:v>7.5</x:v>
      </x:c>
    </x:row>
    <x:row r="5">
      <x:c r="A5" t="str">
        <x:v>CO001</x:v>
      </x:c>
      <x:c r="B5" t="str">
        <x:v>Chocolate chip cookie</x:v>
      </x:c>
      <x:c r="C5" t="str">
        <x:v>Cookies</x:v>
      </x:c>
      <x:c r="D5" s="14" t="n">
        <x:v>2.25</x:v>
      </x:c>
    </x:row>
    <x:row r="6">
      <x:c r="A6" t="str">
        <x:v>MU001</x:v>
      </x:c>
      <x:c r="B6" t="str">
        <x:v>Blueberry muffin</x:v>
      </x:c>
      <x:c r="C6" t="str">
        <x:v>Muffins</x:v>
      </x:c>
      <x:c r="D6" s="14" t="n">
        <x:v>3</x:v>
      </x:c>
    </x:row>
    <x:row r="7">
      <x:c r="A7" t="str">
        <x:v>PA001</x:v>
      </x:c>
      <x:c r="B7" t="str">
        <x:v>Cinnamon roll</x:v>
      </x:c>
      <x:c r="C7" t="str">
        <x:v>Pastries</x:v>
      </x:c>
      <x:c r="D7" s="14" t="n">
        <x:v>3.75</x:v>
      </x:c>
    </x:row>
    <x:row r="8">
      <x:c r="A8" t="str">
        <x:v>PI001</x:v>
      </x:c>
      <x:c r="B8" t="str">
        <x:v>Apple pie 9 inch</x:v>
      </x:c>
      <x:c r="C8" t="str">
        <x:v>Pies</x:v>
      </x:c>
      <x:c r="D8" s="14" t="n">
        <x:v>22</x:v>
      </x:c>
    </x:row>
    <x:row r="9">
      <x:c r="A9" t="str">
        <x:v>CA001</x:v>
      </x:c>
      <x:c r="B9" t="str">
        <x:v>Custom decorated cake</x:v>
      </x:c>
      <x:c r="C9" t="str">
        <x:v>Cakes</x:v>
      </x:c>
      <x:c r="D9" s="14" t="n">
        <x:v>45</x:v>
      </x:c>
    </x:row>
    <x:row r="10">
      <x:c r="A10" t="str">
        <x:v>EX001</x:v>
      </x:c>
      <x:c r="B10" t="str">
        <x:v>Honey butter jar</x:v>
      </x:c>
      <x:c r="C10" t="str">
        <x:v>Extras</x:v>
      </x:c>
      <x:c r="D10" s="14" t="n">
        <x:v>5</x:v>
      </x:c>
    </x:row>
    <x:row r="11">
      <x:c r="A11" t="str">
        <x:v>SEASON-3</x:v>
      </x:c>
      <x:c r="B11" t="str">
        <x:v>Sweet potato pie 9 inch</x:v>
      </x:c>
      <x:c r="C11" t="str">
        <x:v>Pies (seasonal)</x:v>
      </x:c>
      <x:c r="D11" s="14" t="n">
        <x:v>21</x:v>
      </x:c>
    </x:row>
    <x:row r="13">
      <x:c r="A13" t="str">
        <x:v>Notes: Seasonal item must not be ordered outside Nov 1–Dec 31.</x:v>
      </x:c>
    </x:row>
  </x:sheetData>
  <x:mergeCells>
    <x:mergeCell ref="A1:D1"/>
  </x:mergeCells>
  <x:pageMargins left="0.7" right="0.7" top="0.75" bottom="0.75" header="0.3" footer="0.3"/>
</x:worksheet>
</file>